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💰 Income" sheetId="2" state="visible" r:id="rId2"/>
    <sheet name="💸 Expenses" sheetId="3" state="visible" r:id="rId3"/>
    <sheet name="📈 Profit &amp; Loss" sheetId="4" state="visible" r:id="rId4"/>
    <sheet name="🏷️ Catego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YYYY-MM-DD"/>
  </numFmts>
  <fonts count="24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A78BFA"/>
      <sz val="11"/>
    </font>
    <font>
      <name val="Calibri"/>
      <b val="1"/>
      <color rgb="00FFFFFF"/>
      <sz val="9"/>
    </font>
    <font>
      <name val="Calibri"/>
      <b val="1"/>
      <color rgb="00059669"/>
      <sz val="16"/>
    </font>
    <font>
      <name val="Calibri"/>
      <b val="1"/>
      <color rgb="00DC2626"/>
      <sz val="16"/>
    </font>
    <font>
      <name val="Calibri"/>
      <b val="1"/>
      <color rgb="007C3AED"/>
      <sz val="16"/>
    </font>
    <font>
      <name val="Calibri"/>
      <b val="1"/>
      <color rgb="00F59E0B"/>
      <sz val="16"/>
    </font>
    <font>
      <name val="Calibri"/>
      <b val="1"/>
      <color rgb="00FFFFFF"/>
      <sz val="11"/>
    </font>
    <font>
      <name val="Calibri"/>
      <b val="1"/>
      <color rgb="001E1E2E"/>
      <sz val="10"/>
    </font>
    <font>
      <name val="Calibri"/>
      <color rgb="00059669"/>
      <sz val="10"/>
    </font>
    <font>
      <name val="Calibri"/>
      <color rgb="00DC2626"/>
      <sz val="10"/>
    </font>
    <font>
      <name val="Calibri"/>
      <b val="1"/>
      <color rgb="007C3AED"/>
      <sz val="10"/>
    </font>
    <font>
      <name val="Calibri"/>
      <b val="1"/>
      <color rgb="00F59E0B"/>
      <sz val="10"/>
    </font>
    <font>
      <name val="Calibri"/>
      <color rgb="001E1E2E"/>
      <sz val="10"/>
    </font>
    <font>
      <name val="Calibri"/>
      <b val="1"/>
      <color rgb="00059669"/>
      <sz val="10"/>
    </font>
    <font>
      <name val="Calibri"/>
      <b val="1"/>
      <color rgb="00D97706"/>
      <sz val="10"/>
    </font>
    <font>
      <name val="Calibri"/>
      <b val="1"/>
      <color rgb="00DC2626"/>
      <sz val="10"/>
    </font>
    <font>
      <name val="Calibri"/>
      <b val="1"/>
      <color rgb="00FFFFFF"/>
      <sz val="20"/>
    </font>
    <font>
      <name val="Calibri"/>
      <b val="1"/>
      <color rgb="00FFFFFF"/>
      <sz val="12"/>
    </font>
    <font>
      <name val="Calibri"/>
      <i val="1"/>
      <color rgb="001E1E2E"/>
      <sz val="10"/>
    </font>
    <font>
      <name val="Calibri"/>
      <b val="1"/>
      <color rgb="001E1E2E"/>
      <sz val="11"/>
    </font>
    <font>
      <name val="Calibri"/>
      <b val="1"/>
      <color rgb="007C3AED"/>
      <sz val="11"/>
    </font>
    <font>
      <name val="Calibri"/>
      <b val="1"/>
      <color rgb="00FFFFFF"/>
      <sz val="16"/>
    </font>
  </fonts>
  <fills count="1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59669"/>
      </patternFill>
    </fill>
    <fill>
      <patternFill patternType="solid">
        <fgColor rgb="00FAFAF9"/>
      </patternFill>
    </fill>
    <fill>
      <patternFill patternType="solid">
        <fgColor rgb="00DC2626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1E1E2E"/>
      </patternFill>
    </fill>
    <fill>
      <patternFill patternType="solid">
        <fgColor rgb="00F5F3FF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EDE9FE"/>
      </patternFill>
    </fill>
  </fills>
  <borders count="9">
    <border>
      <left/>
      <right/>
      <top/>
      <bottom/>
      <diagonal/>
    </border>
    <border>
      <left style="medium">
        <color rgb="00059669"/>
      </left>
      <right style="medium">
        <color rgb="00059669"/>
      </right>
      <bottom style="medium">
        <color rgb="00059669"/>
      </bottom>
    </border>
    <border>
      <left style="medium">
        <color rgb="00DC2626"/>
      </left>
      <right style="medium">
        <color rgb="00DC2626"/>
      </right>
      <bottom style="medium">
        <color rgb="00DC2626"/>
      </bottom>
    </border>
    <border>
      <left style="medium">
        <color rgb="007C3AED"/>
      </left>
      <right style="medium">
        <color rgb="007C3AED"/>
      </right>
      <bottom style="medium">
        <color rgb="007C3AED"/>
      </bottom>
    </border>
    <border>
      <left style="medium">
        <color rgb="00F59E0B"/>
      </left>
      <right style="medium">
        <color rgb="00F59E0B"/>
      </right>
      <bottom style="medium">
        <color rgb="00F59E0B"/>
      </bottom>
    </border>
    <border>
      <left style="thin">
        <color rgb="00DDD6FE"/>
      </left>
      <right style="thin">
        <color rgb="00DDD6FE"/>
      </right>
      <top style="thin">
        <color rgb="00DDD6FE"/>
      </top>
      <bottom style="thin">
        <color rgb="00DDD6FE"/>
      </bottom>
    </border>
    <border>
      <left/>
      <right/>
      <top style="thin">
        <color rgb="00DDD6FE"/>
      </top>
      <bottom/>
      <diagonal/>
    </border>
    <border>
      <left/>
      <right style="thin">
        <color rgb="00DDD6FE"/>
      </right>
      <top style="thin">
        <color rgb="00DDD6FE"/>
      </top>
      <bottom/>
      <diagonal/>
    </border>
    <border>
      <left/>
      <right style="thin">
        <color rgb="00DDD6FE"/>
      </right>
      <top style="thin">
        <color rgb="00DDD6FE"/>
      </top>
      <bottom style="thin">
        <color rgb="00DDD6FE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5" fillId="4" borderId="2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5" fontId="7" fillId="4" borderId="4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8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8" fillId="5" borderId="5" applyAlignment="1" pivotButton="0" quotePrefix="0" xfId="0">
      <alignment horizontal="center" vertical="center" wrapText="1"/>
    </xf>
    <xf numFmtId="0" fontId="8" fillId="6" borderId="5" applyAlignment="1" pivotButton="0" quotePrefix="0" xfId="0">
      <alignment horizontal="center" vertical="center" wrapText="1"/>
    </xf>
    <xf numFmtId="0" fontId="8" fillId="7" borderId="5" applyAlignment="1" pivotButton="0" quotePrefix="0" xfId="0">
      <alignment horizontal="center" vertical="center" wrapText="1"/>
    </xf>
    <xf numFmtId="0" fontId="9" fillId="9" borderId="5" applyAlignment="1" pivotButton="0" quotePrefix="0" xfId="0">
      <alignment horizontal="center" vertical="center"/>
    </xf>
    <xf numFmtId="164" fontId="10" fillId="10" borderId="5" applyAlignment="1" pivotButton="0" quotePrefix="0" xfId="0">
      <alignment horizontal="center" vertical="center"/>
    </xf>
    <xf numFmtId="164" fontId="11" fillId="11" borderId="5" applyAlignment="1" pivotButton="0" quotePrefix="0" xfId="0">
      <alignment horizontal="center" vertical="center"/>
    </xf>
    <xf numFmtId="164" fontId="12" fillId="9" borderId="5" applyAlignment="1" pivotButton="0" quotePrefix="0" xfId="0">
      <alignment horizontal="center" vertical="center"/>
    </xf>
    <xf numFmtId="165" fontId="13" fillId="9" borderId="5" applyAlignment="1" pivotButton="0" quotePrefix="0" xfId="0">
      <alignment horizontal="center" vertical="center"/>
    </xf>
    <xf numFmtId="0" fontId="9" fillId="12" borderId="5" applyAlignment="1" pivotButton="0" quotePrefix="0" xfId="0">
      <alignment horizontal="center" vertical="center"/>
    </xf>
    <xf numFmtId="164" fontId="12" fillId="12" borderId="5" applyAlignment="1" pivotButton="0" quotePrefix="0" xfId="0">
      <alignment horizontal="center" vertical="center"/>
    </xf>
    <xf numFmtId="165" fontId="13" fillId="12" borderId="5" applyAlignment="1" pivotButton="0" quotePrefix="0" xfId="0">
      <alignment horizontal="center" vertical="center"/>
    </xf>
    <xf numFmtId="164" fontId="8" fillId="3" borderId="5" applyAlignment="1" pivotButton="0" quotePrefix="0" xfId="0">
      <alignment horizontal="center" vertical="center"/>
    </xf>
    <xf numFmtId="164" fontId="8" fillId="5" borderId="5" applyAlignment="1" pivotButton="0" quotePrefix="0" xfId="0">
      <alignment horizontal="center" vertical="center"/>
    </xf>
    <xf numFmtId="164" fontId="8" fillId="6" borderId="5" applyAlignment="1" pivotButton="0" quotePrefix="0" xfId="0">
      <alignment horizontal="center" vertical="center"/>
    </xf>
    <xf numFmtId="165" fontId="8" fillId="7" borderId="5" applyAlignment="1" pivotButton="0" quotePrefix="0" xfId="0">
      <alignment horizontal="center" vertical="center"/>
    </xf>
    <xf numFmtId="166" fontId="14" fillId="10" borderId="5" applyAlignment="1" pivotButton="0" quotePrefix="0" xfId="0">
      <alignment horizontal="center" vertical="center"/>
    </xf>
    <xf numFmtId="0" fontId="14" fillId="10" borderId="5" applyAlignment="1" pivotButton="0" quotePrefix="0" xfId="0">
      <alignment horizontal="left" vertical="center"/>
    </xf>
    <xf numFmtId="164" fontId="15" fillId="10" borderId="5" applyAlignment="1" pivotButton="0" quotePrefix="0" xfId="0">
      <alignment horizontal="center" vertical="center"/>
    </xf>
    <xf numFmtId="0" fontId="15" fillId="10" borderId="5" applyAlignment="1" pivotButton="0" quotePrefix="0" xfId="0">
      <alignment horizontal="center" vertical="center"/>
    </xf>
    <xf numFmtId="166" fontId="14" fillId="12" borderId="5" applyAlignment="1" pivotButton="0" quotePrefix="0" xfId="0">
      <alignment horizontal="center" vertical="center"/>
    </xf>
    <xf numFmtId="0" fontId="14" fillId="12" borderId="5" applyAlignment="1" pivotButton="0" quotePrefix="0" xfId="0">
      <alignment horizontal="left" vertical="center"/>
    </xf>
    <xf numFmtId="164" fontId="15" fillId="12" borderId="5" applyAlignment="1" pivotButton="0" quotePrefix="0" xfId="0">
      <alignment horizontal="center" vertical="center"/>
    </xf>
    <xf numFmtId="0" fontId="16" fillId="13" borderId="5" applyAlignment="1" pivotButton="0" quotePrefix="0" xfId="0">
      <alignment horizontal="center" vertical="center"/>
    </xf>
    <xf numFmtId="0" fontId="8" fillId="3" borderId="5" applyAlignment="1" pivotButton="0" quotePrefix="0" xfId="0">
      <alignment horizontal="left" vertical="center" wrapText="1"/>
    </xf>
    <xf numFmtId="166" fontId="14" fillId="11" borderId="5" applyAlignment="1" pivotButton="0" quotePrefix="0" xfId="0">
      <alignment horizontal="center" vertical="center"/>
    </xf>
    <xf numFmtId="0" fontId="14" fillId="11" borderId="5" applyAlignment="1" pivotButton="0" quotePrefix="0" xfId="0">
      <alignment horizontal="left" vertical="center"/>
    </xf>
    <xf numFmtId="164" fontId="17" fillId="11" borderId="5" applyAlignment="1" pivotButton="0" quotePrefix="0" xfId="0">
      <alignment horizontal="center" vertical="center"/>
    </xf>
    <xf numFmtId="164" fontId="17" fillId="12" borderId="5" applyAlignment="1" pivotButton="0" quotePrefix="0" xfId="0">
      <alignment horizontal="center" vertical="center"/>
    </xf>
    <xf numFmtId="0" fontId="8" fillId="5" borderId="5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left" vertical="center" indent="1"/>
    </xf>
    <xf numFmtId="0" fontId="20" fillId="12" borderId="5" applyAlignment="1" pivotButton="0" quotePrefix="0" xfId="0">
      <alignment horizontal="left" vertical="center" indent="2"/>
    </xf>
    <xf numFmtId="164" fontId="14" fillId="12" borderId="5" applyAlignment="1" pivotButton="0" quotePrefix="0" xfId="0">
      <alignment horizontal="right" vertical="center"/>
    </xf>
    <xf numFmtId="0" fontId="21" fillId="14" borderId="5" applyAlignment="1" pivotButton="0" quotePrefix="0" xfId="0">
      <alignment horizontal="left" vertical="center" indent="2"/>
    </xf>
    <xf numFmtId="164" fontId="22" fillId="14" borderId="5" applyAlignment="1" pivotButton="0" quotePrefix="0" xfId="0">
      <alignment horizontal="right" vertical="center"/>
    </xf>
    <xf numFmtId="0" fontId="19" fillId="5" borderId="0" applyAlignment="1" pivotButton="0" quotePrefix="0" xfId="0">
      <alignment horizontal="left" vertical="center" indent="1"/>
    </xf>
    <xf numFmtId="0" fontId="19" fillId="6" borderId="0" applyAlignment="1" pivotButton="0" quotePrefix="0" xfId="0">
      <alignment horizontal="left" vertical="center" indent="1"/>
    </xf>
    <xf numFmtId="0" fontId="21" fillId="14" borderId="5" applyAlignment="1" pivotButton="0" quotePrefix="0" xfId="0">
      <alignment horizontal="left" vertical="center" indent="1"/>
    </xf>
    <xf numFmtId="165" fontId="22" fillId="14" borderId="5" applyAlignment="1" pivotButton="0" quotePrefix="0" xfId="0">
      <alignment horizontal="right" vertical="center"/>
    </xf>
    <xf numFmtId="0" fontId="23" fillId="8" borderId="0" applyAlignment="1" pivotButton="0" quotePrefix="0" xfId="0">
      <alignment horizontal="center" vertical="center"/>
    </xf>
    <xf numFmtId="0" fontId="9" fillId="12" borderId="5" applyAlignment="1" pivotButton="0" quotePrefix="0" xfId="0">
      <alignment horizontal="left" vertical="center"/>
    </xf>
    <xf numFmtId="165" fontId="10" fillId="12" borderId="5" applyAlignment="1" pivotButton="0" quotePrefix="0" xfId="0">
      <alignment horizontal="center" vertical="center"/>
    </xf>
    <xf numFmtId="165" fontId="11" fillId="12" borderId="5" applyAlignment="1" pivotButton="0" quotePrefix="0" xfId="0">
      <alignment horizontal="center" vertical="center"/>
    </xf>
    <xf numFmtId="0" fontId="9" fillId="9" borderId="5" applyAlignment="1" pivotButton="0" quotePrefix="0" xfId="0">
      <alignment horizontal="left" vertical="center"/>
    </xf>
    <xf numFmtId="165" fontId="10" fillId="9" borderId="5" applyAlignment="1" pivotButton="0" quotePrefix="0" xfId="0">
      <alignment horizontal="center" vertical="center"/>
    </xf>
    <xf numFmtId="165" fontId="11" fillId="9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C3AED"/>
    <outlinePr summaryBelow="1" summaryRight="1"/>
    <pageSetUpPr/>
  </sheetPr>
  <dimension ref="B2:K2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4" customWidth="1" min="3" max="3"/>
    <col width="2" customWidth="1" min="4" max="4"/>
    <col width="14" customWidth="1" min="5" max="5"/>
    <col width="2" customWidth="1" min="6" max="6"/>
    <col width="14" customWidth="1" min="7" max="7"/>
    <col width="2" customWidth="1" min="8" max="8"/>
    <col width="12" customWidth="1" min="9" max="9"/>
    <col width="2" customWidth="1" min="10" max="10"/>
    <col width="4" customWidth="1" min="11" max="11"/>
  </cols>
  <sheetData>
    <row r="1" ht="8" customHeight="1"/>
    <row r="2" ht="36" customHeight="1">
      <c r="B2" s="1" t="inlineStr">
        <is>
          <t>SMALL BUSINESS BOOKKEEPING</t>
        </is>
      </c>
    </row>
    <row r="3"/>
    <row r="4"/>
    <row r="5" ht="20" customHeight="1">
      <c r="B5" s="2" t="inlineStr">
        <is>
          <t>Income · Expenses · Profit &amp; Loss  |  2025</t>
        </is>
      </c>
    </row>
    <row r="7" ht="22" customHeight="1">
      <c r="C7" s="3" t="inlineStr">
        <is>
          <t>TOTAL INCOME</t>
        </is>
      </c>
      <c r="E7" s="4" t="inlineStr">
        <is>
          <t>TOTAL EXPENSES</t>
        </is>
      </c>
      <c r="G7" s="5" t="inlineStr">
        <is>
          <t>NET PROFIT</t>
        </is>
      </c>
      <c r="I7" s="6" t="inlineStr">
        <is>
          <t>PROFIT MARGIN</t>
        </is>
      </c>
    </row>
    <row r="8" ht="34" customHeight="1">
      <c r="C8" s="7">
        <f>SUM('💰 Income'!G2:G1000)</f>
        <v/>
      </c>
      <c r="E8" s="8">
        <f>SUM('💸 Expenses'!G2:G1000)</f>
        <v/>
      </c>
      <c r="G8" s="9">
        <f>SUM('💰 Income'!G2:G1000)-SUM('💸 Expenses'!G2:G1000)</f>
        <v/>
      </c>
      <c r="I8" s="10">
        <f>IF(SUM('💰 Income'!G2:G1000)=0,0,(SUM('💰 Income'!G2:G1000)-SUM('💸 Expenses'!G2:G1000))/SUM('💰 Income'!G2:G1000))</f>
        <v/>
      </c>
    </row>
    <row r="10" ht="22" customHeight="1">
      <c r="B10" s="11" t="inlineStr">
        <is>
          <t>MONTHLY SUMMARY</t>
        </is>
      </c>
    </row>
    <row r="11" ht="20" customHeight="1">
      <c r="B11" s="12" t="inlineStr">
        <is>
          <t>MONTH</t>
        </is>
      </c>
      <c r="C11" s="13" t="inlineStr">
        <is>
          <t>INCOME</t>
        </is>
      </c>
      <c r="D11" s="14" t="n"/>
      <c r="E11" s="15" t="inlineStr">
        <is>
          <t>EXPENSES</t>
        </is>
      </c>
      <c r="F11" s="14" t="n"/>
      <c r="G11" s="16" t="inlineStr">
        <is>
          <t>NET</t>
        </is>
      </c>
      <c r="H11" s="14" t="n"/>
      <c r="I11" s="17" t="inlineStr">
        <is>
          <t>MARGIN</t>
        </is>
      </c>
      <c r="J11" s="14" t="n"/>
    </row>
    <row r="12" ht="18" customHeight="1">
      <c r="B12" s="18" t="inlineStr">
        <is>
          <t>Jan</t>
        </is>
      </c>
      <c r="C12" s="19">
        <f>SUMPRODUCT((MONTH('💰 Income'!A2:A1000)=1)*('💰 Income'!G2:G1000))</f>
        <v/>
      </c>
      <c r="E12" s="20">
        <f>SUMPRODUCT((MONTH('💸 Expenses'!A2:A1000)=1)*('💸 Expenses'!G2:G1000))</f>
        <v/>
      </c>
      <c r="G12" s="21">
        <f>C12-E12</f>
        <v/>
      </c>
      <c r="I12" s="22">
        <f>IF(C12=0,0,(G12)/C12)</f>
        <v/>
      </c>
    </row>
    <row r="13" ht="18" customHeight="1">
      <c r="B13" s="23" t="inlineStr">
        <is>
          <t>Feb</t>
        </is>
      </c>
      <c r="C13" s="19">
        <f>SUMPRODUCT((MONTH('💰 Income'!A2:A1000)=2)*('💰 Income'!G2:G1000))</f>
        <v/>
      </c>
      <c r="E13" s="20">
        <f>SUMPRODUCT((MONTH('💸 Expenses'!A2:A1000)=2)*('💸 Expenses'!G2:G1000))</f>
        <v/>
      </c>
      <c r="G13" s="24">
        <f>C13-E13</f>
        <v/>
      </c>
      <c r="I13" s="25">
        <f>IF(C13=0,0,(G13)/C13)</f>
        <v/>
      </c>
    </row>
    <row r="14" ht="18" customHeight="1">
      <c r="B14" s="18" t="inlineStr">
        <is>
          <t>Mar</t>
        </is>
      </c>
      <c r="C14" s="19">
        <f>SUMPRODUCT((MONTH('💰 Income'!A2:A1000)=3)*('💰 Income'!G2:G1000))</f>
        <v/>
      </c>
      <c r="E14" s="20">
        <f>SUMPRODUCT((MONTH('💸 Expenses'!A2:A1000)=3)*('💸 Expenses'!G2:G1000))</f>
        <v/>
      </c>
      <c r="G14" s="21">
        <f>C14-E14</f>
        <v/>
      </c>
      <c r="I14" s="22">
        <f>IF(C14=0,0,(G14)/C14)</f>
        <v/>
      </c>
    </row>
    <row r="15" ht="18" customHeight="1">
      <c r="B15" s="23" t="inlineStr">
        <is>
          <t>Apr</t>
        </is>
      </c>
      <c r="C15" s="19">
        <f>SUMPRODUCT((MONTH('💰 Income'!A2:A1000)=4)*('💰 Income'!G2:G1000))</f>
        <v/>
      </c>
      <c r="E15" s="20">
        <f>SUMPRODUCT((MONTH('💸 Expenses'!A2:A1000)=4)*('💸 Expenses'!G2:G1000))</f>
        <v/>
      </c>
      <c r="G15" s="24">
        <f>C15-E15</f>
        <v/>
      </c>
      <c r="I15" s="25">
        <f>IF(C15=0,0,(G15)/C15)</f>
        <v/>
      </c>
    </row>
    <row r="16" ht="18" customHeight="1">
      <c r="B16" s="18" t="inlineStr">
        <is>
          <t>May</t>
        </is>
      </c>
      <c r="C16" s="19">
        <f>SUMPRODUCT((MONTH('💰 Income'!A2:A1000)=5)*('💰 Income'!G2:G1000))</f>
        <v/>
      </c>
      <c r="E16" s="20">
        <f>SUMPRODUCT((MONTH('💸 Expenses'!A2:A1000)=5)*('💸 Expenses'!G2:G1000))</f>
        <v/>
      </c>
      <c r="G16" s="21">
        <f>C16-E16</f>
        <v/>
      </c>
      <c r="I16" s="22">
        <f>IF(C16=0,0,(G16)/C16)</f>
        <v/>
      </c>
    </row>
    <row r="17" ht="18" customHeight="1">
      <c r="B17" s="23" t="inlineStr">
        <is>
          <t>Jun</t>
        </is>
      </c>
      <c r="C17" s="19">
        <f>SUMPRODUCT((MONTH('💰 Income'!A2:A1000)=6)*('💰 Income'!G2:G1000))</f>
        <v/>
      </c>
      <c r="E17" s="20">
        <f>SUMPRODUCT((MONTH('💸 Expenses'!A2:A1000)=6)*('💸 Expenses'!G2:G1000))</f>
        <v/>
      </c>
      <c r="G17" s="24">
        <f>C17-E17</f>
        <v/>
      </c>
      <c r="I17" s="25">
        <f>IF(C17=0,0,(G17)/C17)</f>
        <v/>
      </c>
    </row>
    <row r="18" ht="18" customHeight="1">
      <c r="B18" s="18" t="inlineStr">
        <is>
          <t>Jul</t>
        </is>
      </c>
      <c r="C18" s="19">
        <f>SUMPRODUCT((MONTH('💰 Income'!A2:A1000)=7)*('💰 Income'!G2:G1000))</f>
        <v/>
      </c>
      <c r="E18" s="20">
        <f>SUMPRODUCT((MONTH('💸 Expenses'!A2:A1000)=7)*('💸 Expenses'!G2:G1000))</f>
        <v/>
      </c>
      <c r="G18" s="21">
        <f>C18-E18</f>
        <v/>
      </c>
      <c r="I18" s="22">
        <f>IF(C18=0,0,(G18)/C18)</f>
        <v/>
      </c>
    </row>
    <row r="19" ht="18" customHeight="1">
      <c r="B19" s="23" t="inlineStr">
        <is>
          <t>Aug</t>
        </is>
      </c>
      <c r="C19" s="19">
        <f>SUMPRODUCT((MONTH('💰 Income'!A2:A1000)=8)*('💰 Income'!G2:G1000))</f>
        <v/>
      </c>
      <c r="E19" s="20">
        <f>SUMPRODUCT((MONTH('💸 Expenses'!A2:A1000)=8)*('💸 Expenses'!G2:G1000))</f>
        <v/>
      </c>
      <c r="G19" s="24">
        <f>C19-E19</f>
        <v/>
      </c>
      <c r="I19" s="25">
        <f>IF(C19=0,0,(G19)/C19)</f>
        <v/>
      </c>
    </row>
    <row r="20" ht="18" customHeight="1">
      <c r="B20" s="18" t="inlineStr">
        <is>
          <t>Sep</t>
        </is>
      </c>
      <c r="C20" s="19">
        <f>SUMPRODUCT((MONTH('💰 Income'!A2:A1000)=9)*('💰 Income'!G2:G1000))</f>
        <v/>
      </c>
      <c r="E20" s="20">
        <f>SUMPRODUCT((MONTH('💸 Expenses'!A2:A1000)=9)*('💸 Expenses'!G2:G1000))</f>
        <v/>
      </c>
      <c r="G20" s="21">
        <f>C20-E20</f>
        <v/>
      </c>
      <c r="I20" s="22">
        <f>IF(C20=0,0,(G20)/C20)</f>
        <v/>
      </c>
    </row>
    <row r="21" ht="18" customHeight="1">
      <c r="B21" s="23" t="inlineStr">
        <is>
          <t>Oct</t>
        </is>
      </c>
      <c r="C21" s="19">
        <f>SUMPRODUCT((MONTH('💰 Income'!A2:A1000)=10)*('💰 Income'!G2:G1000))</f>
        <v/>
      </c>
      <c r="E21" s="20">
        <f>SUMPRODUCT((MONTH('💸 Expenses'!A2:A1000)=10)*('💸 Expenses'!G2:G1000))</f>
        <v/>
      </c>
      <c r="G21" s="24">
        <f>C21-E21</f>
        <v/>
      </c>
      <c r="I21" s="25">
        <f>IF(C21=0,0,(G21)/C21)</f>
        <v/>
      </c>
    </row>
    <row r="22" ht="18" customHeight="1">
      <c r="B22" s="18" t="inlineStr">
        <is>
          <t>Nov</t>
        </is>
      </c>
      <c r="C22" s="19">
        <f>SUMPRODUCT((MONTH('💰 Income'!A2:A1000)=11)*('💰 Income'!G2:G1000))</f>
        <v/>
      </c>
      <c r="E22" s="20">
        <f>SUMPRODUCT((MONTH('💸 Expenses'!A2:A1000)=11)*('💸 Expenses'!G2:G1000))</f>
        <v/>
      </c>
      <c r="G22" s="21">
        <f>C22-E22</f>
        <v/>
      </c>
      <c r="I22" s="22">
        <f>IF(C22=0,0,(G22)/C22)</f>
        <v/>
      </c>
    </row>
    <row r="23" ht="18" customHeight="1">
      <c r="B23" s="23" t="inlineStr">
        <is>
          <t>Dec</t>
        </is>
      </c>
      <c r="C23" s="19">
        <f>SUMPRODUCT((MONTH('💰 Income'!A2:A1000)=12)*('💰 Income'!G2:G1000))</f>
        <v/>
      </c>
      <c r="E23" s="20">
        <f>SUMPRODUCT((MONTH('💸 Expenses'!A2:A1000)=12)*('💸 Expenses'!G2:G1000))</f>
        <v/>
      </c>
      <c r="G23" s="24">
        <f>C23-E23</f>
        <v/>
      </c>
      <c r="I23" s="25">
        <f>IF(C23=0,0,(G23)/C23)</f>
        <v/>
      </c>
    </row>
    <row r="24" ht="22" customHeight="1">
      <c r="B24" s="12" t="inlineStr">
        <is>
          <t>TOTAL</t>
        </is>
      </c>
      <c r="C24" s="26">
        <f>SUM('💰 Income'!G2:G1000)</f>
        <v/>
      </c>
      <c r="E24" s="27">
        <f>SUM('💸 Expenses'!G2:G1000)</f>
        <v/>
      </c>
      <c r="G24" s="28">
        <f>C24-E24</f>
        <v/>
      </c>
      <c r="I24" s="29">
        <f>IF(C24=0,0,G24/C24)</f>
        <v/>
      </c>
    </row>
  </sheetData>
  <mergeCells count="68">
    <mergeCell ref="E12:F12"/>
    <mergeCell ref="G21:H21"/>
    <mergeCell ref="G12:H12"/>
    <mergeCell ref="C24:D24"/>
    <mergeCell ref="C15:D15"/>
    <mergeCell ref="I15:J15"/>
    <mergeCell ref="E24:F24"/>
    <mergeCell ref="G11:H11"/>
    <mergeCell ref="I11:J11"/>
    <mergeCell ref="B24"/>
    <mergeCell ref="C14:D14"/>
    <mergeCell ref="E23:F23"/>
    <mergeCell ref="E14:F14"/>
    <mergeCell ref="G23:H23"/>
    <mergeCell ref="G8:H8"/>
    <mergeCell ref="E17:F17"/>
    <mergeCell ref="E8:F8"/>
    <mergeCell ref="G17:H17"/>
    <mergeCell ref="B5:K5"/>
    <mergeCell ref="C20:D20"/>
    <mergeCell ref="E20:F20"/>
    <mergeCell ref="C16:D16"/>
    <mergeCell ref="G7:H7"/>
    <mergeCell ref="I16:J16"/>
    <mergeCell ref="G22:H22"/>
    <mergeCell ref="I7:J7"/>
    <mergeCell ref="E19:F19"/>
    <mergeCell ref="G19:H19"/>
    <mergeCell ref="E13:F13"/>
    <mergeCell ref="C22:D22"/>
    <mergeCell ref="I22:J22"/>
    <mergeCell ref="G13:H13"/>
    <mergeCell ref="G18:H18"/>
    <mergeCell ref="I18:J18"/>
    <mergeCell ref="I21:J21"/>
    <mergeCell ref="C12:D12"/>
    <mergeCell ref="I12:J12"/>
    <mergeCell ref="C21:D21"/>
    <mergeCell ref="E15:F15"/>
    <mergeCell ref="G24:H24"/>
    <mergeCell ref="C11:D11"/>
    <mergeCell ref="G15:H15"/>
    <mergeCell ref="I24:J24"/>
    <mergeCell ref="E11:F11"/>
    <mergeCell ref="G14:H14"/>
    <mergeCell ref="I23:J23"/>
    <mergeCell ref="I8:J8"/>
    <mergeCell ref="I14:J14"/>
    <mergeCell ref="C17:D17"/>
    <mergeCell ref="I17:J17"/>
    <mergeCell ref="B2:K4"/>
    <mergeCell ref="C8:D8"/>
    <mergeCell ref="C23:D23"/>
    <mergeCell ref="G20:H20"/>
    <mergeCell ref="C7:D7"/>
    <mergeCell ref="E16:F16"/>
    <mergeCell ref="I20:J20"/>
    <mergeCell ref="E7:F7"/>
    <mergeCell ref="G16:H16"/>
    <mergeCell ref="E18:F18"/>
    <mergeCell ref="C19:D19"/>
    <mergeCell ref="I19:J19"/>
    <mergeCell ref="E22:F22"/>
    <mergeCell ref="C13:D13"/>
    <mergeCell ref="I13:J13"/>
    <mergeCell ref="C18:D18"/>
    <mergeCell ref="B10:K10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59669"/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20" customWidth="1" min="4" max="4"/>
    <col width="14" customWidth="1" min="5" max="5"/>
    <col width="18" customWidth="1" min="6" max="6"/>
    <col width="14" customWidth="1" min="7" max="7"/>
    <col width="14" customWidth="1" min="8" max="8"/>
    <col width="26" customWidth="1" min="9" max="9"/>
  </cols>
  <sheetData>
    <row r="1" ht="22" customHeight="1">
      <c r="A1" s="13" t="inlineStr">
        <is>
          <t>DATE</t>
        </is>
      </c>
      <c r="B1" s="13" t="inlineStr">
        <is>
          <t>CLIENT / CUSTOMER</t>
        </is>
      </c>
      <c r="C1" s="13" t="inlineStr">
        <is>
          <t>DESCRIPTION</t>
        </is>
      </c>
      <c r="D1" s="13" t="inlineStr">
        <is>
          <t>CATEGORY</t>
        </is>
      </c>
      <c r="E1" s="13" t="inlineStr">
        <is>
          <t>INVOICE #</t>
        </is>
      </c>
      <c r="F1" s="13" t="inlineStr">
        <is>
          <t>PAYMENT METHOD</t>
        </is>
      </c>
      <c r="G1" s="13" t="inlineStr">
        <is>
          <t>AMOUNT</t>
        </is>
      </c>
      <c r="H1" s="13" t="inlineStr">
        <is>
          <t>STATUS</t>
        </is>
      </c>
      <c r="I1" s="13" t="inlineStr">
        <is>
          <t>NOTES</t>
        </is>
      </c>
    </row>
    <row r="2" ht="18" customHeight="1">
      <c r="A2" s="30" t="inlineStr">
        <is>
          <t>2025-01-05</t>
        </is>
      </c>
      <c r="B2" s="31" t="inlineStr">
        <is>
          <t>Acme Corp</t>
        </is>
      </c>
      <c r="C2" s="31" t="inlineStr">
        <is>
          <t>Web design project</t>
        </is>
      </c>
      <c r="D2" s="31" t="inlineStr">
        <is>
          <t>Design</t>
        </is>
      </c>
      <c r="E2" s="31" t="inlineStr">
        <is>
          <t>INV-001</t>
        </is>
      </c>
      <c r="F2" s="31" t="inlineStr">
        <is>
          <t>Bank Transfer</t>
        </is>
      </c>
      <c r="G2" s="32" t="n">
        <v>2500</v>
      </c>
      <c r="H2" s="33" t="inlineStr">
        <is>
          <t>Paid</t>
        </is>
      </c>
      <c r="I2" s="31" t="inlineStr"/>
    </row>
    <row r="3" ht="18" customHeight="1">
      <c r="A3" s="34" t="inlineStr">
        <is>
          <t>2025-01-18</t>
        </is>
      </c>
      <c r="B3" s="35" t="inlineStr">
        <is>
          <t>Jane Smith</t>
        </is>
      </c>
      <c r="C3" s="35" t="inlineStr">
        <is>
          <t>Monthly retainer</t>
        </is>
      </c>
      <c r="D3" s="35" t="inlineStr">
        <is>
          <t>Consulting</t>
        </is>
      </c>
      <c r="E3" s="35" t="inlineStr">
        <is>
          <t>INV-002</t>
        </is>
      </c>
      <c r="F3" s="35" t="inlineStr">
        <is>
          <t>PayPal</t>
        </is>
      </c>
      <c r="G3" s="36" t="n">
        <v>800</v>
      </c>
      <c r="H3" s="33" t="inlineStr">
        <is>
          <t>Paid</t>
        </is>
      </c>
      <c r="I3" s="35" t="inlineStr"/>
    </row>
    <row r="4" ht="18" customHeight="1">
      <c r="A4" s="30" t="inlineStr">
        <is>
          <t>2025-02-03</t>
        </is>
      </c>
      <c r="B4" s="31" t="inlineStr">
        <is>
          <t>Green Solutions</t>
        </is>
      </c>
      <c r="C4" s="31" t="inlineStr">
        <is>
          <t>Logo package</t>
        </is>
      </c>
      <c r="D4" s="31" t="inlineStr">
        <is>
          <t>Design</t>
        </is>
      </c>
      <c r="E4" s="31" t="inlineStr">
        <is>
          <t>INV-003</t>
        </is>
      </c>
      <c r="F4" s="31" t="inlineStr">
        <is>
          <t>Credit Card</t>
        </is>
      </c>
      <c r="G4" s="32" t="n">
        <v>650</v>
      </c>
      <c r="H4" s="33" t="inlineStr">
        <is>
          <t>Paid</t>
        </is>
      </c>
      <c r="I4" s="31" t="inlineStr"/>
    </row>
    <row r="5" ht="18" customHeight="1">
      <c r="A5" s="34" t="inlineStr">
        <is>
          <t>2025-02-20</t>
        </is>
      </c>
      <c r="B5" s="35" t="inlineStr">
        <is>
          <t>TechStart Inc.</t>
        </is>
      </c>
      <c r="C5" s="35" t="inlineStr">
        <is>
          <t>SEO audit</t>
        </is>
      </c>
      <c r="D5" s="35" t="inlineStr">
        <is>
          <t>Marketing</t>
        </is>
      </c>
      <c r="E5" s="35" t="inlineStr">
        <is>
          <t>INV-004</t>
        </is>
      </c>
      <c r="F5" s="35" t="inlineStr">
        <is>
          <t>Bank Transfer</t>
        </is>
      </c>
      <c r="G5" s="36" t="n">
        <v>1200</v>
      </c>
      <c r="H5" s="33" t="inlineStr">
        <is>
          <t>Paid</t>
        </is>
      </c>
      <c r="I5" s="35" t="inlineStr"/>
    </row>
    <row r="6" ht="18" customHeight="1">
      <c r="A6" s="30" t="inlineStr">
        <is>
          <t>2025-03-10</t>
        </is>
      </c>
      <c r="B6" s="31" t="inlineStr">
        <is>
          <t>Local Bakery</t>
        </is>
      </c>
      <c r="C6" s="31" t="inlineStr">
        <is>
          <t>Brand identity</t>
        </is>
      </c>
      <c r="D6" s="31" t="inlineStr">
        <is>
          <t>Design</t>
        </is>
      </c>
      <c r="E6" s="31" t="inlineStr">
        <is>
          <t>INV-005</t>
        </is>
      </c>
      <c r="F6" s="31" t="inlineStr">
        <is>
          <t>Check</t>
        </is>
      </c>
      <c r="G6" s="32" t="n">
        <v>1800</v>
      </c>
      <c r="H6" s="37" t="inlineStr">
        <is>
          <t>Pending</t>
        </is>
      </c>
      <c r="I6" s="31" t="inlineStr">
        <is>
          <t>Follow-up needed</t>
        </is>
      </c>
    </row>
    <row r="7" ht="18" customHeight="1">
      <c r="A7" s="34" t="inlineStr">
        <is>
          <t>2025-03-28</t>
        </is>
      </c>
      <c r="B7" s="35" t="inlineStr">
        <is>
          <t>Riverside LLC</t>
        </is>
      </c>
      <c r="C7" s="35" t="inlineStr">
        <is>
          <t>Social media management</t>
        </is>
      </c>
      <c r="D7" s="35" t="inlineStr">
        <is>
          <t>Marketing</t>
        </is>
      </c>
      <c r="E7" s="35" t="inlineStr">
        <is>
          <t>INV-006</t>
        </is>
      </c>
      <c r="F7" s="35" t="inlineStr">
        <is>
          <t>Bank Transfer</t>
        </is>
      </c>
      <c r="G7" s="36" t="n">
        <v>950</v>
      </c>
      <c r="H7" s="33" t="inlineStr">
        <is>
          <t>Paid</t>
        </is>
      </c>
      <c r="I7" s="35" t="inlineStr"/>
    </row>
    <row r="8" ht="18" customHeight="1">
      <c r="A8" s="30" t="inlineStr">
        <is>
          <t>2025-04-07</t>
        </is>
      </c>
      <c r="B8" s="31" t="inlineStr">
        <is>
          <t>Global Events</t>
        </is>
      </c>
      <c r="C8" s="31" t="inlineStr">
        <is>
          <t>Event photography</t>
        </is>
      </c>
      <c r="D8" s="31" t="inlineStr">
        <is>
          <t>Photography</t>
        </is>
      </c>
      <c r="E8" s="31" t="inlineStr">
        <is>
          <t>INV-007</t>
        </is>
      </c>
      <c r="F8" s="31" t="inlineStr">
        <is>
          <t>PayPal</t>
        </is>
      </c>
      <c r="G8" s="32" t="n">
        <v>1350</v>
      </c>
      <c r="H8" s="33" t="inlineStr">
        <is>
          <t>Paid</t>
        </is>
      </c>
      <c r="I8" s="31" t="inlineStr"/>
    </row>
    <row r="9" ht="18" customHeight="1">
      <c r="A9" s="34" t="inlineStr">
        <is>
          <t>2025-04-22</t>
        </is>
      </c>
      <c r="B9" s="35" t="inlineStr">
        <is>
          <t>Acme Corp</t>
        </is>
      </c>
      <c r="C9" s="35" t="inlineStr">
        <is>
          <t>Website maintenance</t>
        </is>
      </c>
      <c r="D9" s="35" t="inlineStr">
        <is>
          <t>Development</t>
        </is>
      </c>
      <c r="E9" s="35" t="inlineStr">
        <is>
          <t>INV-008</t>
        </is>
      </c>
      <c r="F9" s="35" t="inlineStr">
        <is>
          <t>Bank Transfer</t>
        </is>
      </c>
      <c r="G9" s="36" t="n">
        <v>600</v>
      </c>
      <c r="H9" s="33" t="inlineStr">
        <is>
          <t>Paid</t>
        </is>
      </c>
      <c r="I9" s="35" t="inlineStr">
        <is>
          <t>Monthly</t>
        </is>
      </c>
    </row>
    <row r="10" ht="22" customHeight="1">
      <c r="E10" s="38" t="inlineStr">
        <is>
          <t>TOTAL INCOME</t>
        </is>
      </c>
      <c r="G10" s="32">
        <f>SUM(G2:G9)</f>
        <v/>
      </c>
    </row>
  </sheetData>
  <mergeCells count="1">
    <mergeCell ref="E10:F10"/>
  </mergeCells>
  <dataValidations count="3">
    <dataValidation sqref="D2:D1000" showDropDown="0" showInputMessage="0" showErrorMessage="0" allowBlank="1" type="list">
      <formula1>"Design,Consulting,Marketing,Photography,Development,Coaching,Writing,Other"</formula1>
    </dataValidation>
    <dataValidation sqref="H2:H1000" showDropDown="0" showInputMessage="0" showErrorMessage="0" allowBlank="1" type="list">
      <formula1>"Paid,Pending,Overdue,Cancelled"</formula1>
    </dataValidation>
    <dataValidation sqref="F2:F1000" showDropDown="0" showInputMessage="0" showErrorMessage="0" allowBlank="1" type="list">
      <formula1>"Bank Transfer,PayPal,Credit Card,Cash,Check,Venmo,Zelle,Stripe"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C2626"/>
    <outlinePr summaryBelow="1" summaryRight="1"/>
    <pageSetUpPr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20" customWidth="1" min="4" max="4"/>
    <col width="18" customWidth="1" min="5" max="5"/>
    <col width="14" customWidth="1" min="6" max="6"/>
    <col width="14" customWidth="1" min="7" max="7"/>
    <col width="16" customWidth="1" min="8" max="8"/>
    <col width="26" customWidth="1" min="9" max="9"/>
  </cols>
  <sheetData>
    <row r="1" ht="22" customHeight="1">
      <c r="A1" s="15" t="inlineStr">
        <is>
          <t>DATE</t>
        </is>
      </c>
      <c r="B1" s="15" t="inlineStr">
        <is>
          <t>VENDOR / PAYEE</t>
        </is>
      </c>
      <c r="C1" s="15" t="inlineStr">
        <is>
          <t>DESCRIPTION</t>
        </is>
      </c>
      <c r="D1" s="15" t="inlineStr">
        <is>
          <t>CATEGORY</t>
        </is>
      </c>
      <c r="E1" s="15" t="inlineStr">
        <is>
          <t>PAYMENT METHOD</t>
        </is>
      </c>
      <c r="F1" s="15" t="inlineStr">
        <is>
          <t>RECEIPT #</t>
        </is>
      </c>
      <c r="G1" s="15" t="inlineStr">
        <is>
          <t>AMOUNT</t>
        </is>
      </c>
      <c r="H1" s="15" t="inlineStr">
        <is>
          <t>TAX DEDUCTIBLE?</t>
        </is>
      </c>
      <c r="I1" s="15" t="inlineStr">
        <is>
          <t>NOTES</t>
        </is>
      </c>
    </row>
    <row r="2" ht="18" customHeight="1">
      <c r="A2" s="39" t="inlineStr">
        <is>
          <t>2025-01-03</t>
        </is>
      </c>
      <c r="B2" s="40" t="inlineStr">
        <is>
          <t>Adobe Creative</t>
        </is>
      </c>
      <c r="C2" s="40" t="inlineStr">
        <is>
          <t>Monthly subscription</t>
        </is>
      </c>
      <c r="D2" s="40" t="inlineStr">
        <is>
          <t>Software</t>
        </is>
      </c>
      <c r="E2" s="40" t="inlineStr">
        <is>
          <t>Credit Card</t>
        </is>
      </c>
      <c r="F2" s="40" t="inlineStr">
        <is>
          <t>REC-001</t>
        </is>
      </c>
      <c r="G2" s="41" t="n">
        <v>54.99</v>
      </c>
      <c r="H2" s="33" t="inlineStr">
        <is>
          <t>Yes</t>
        </is>
      </c>
      <c r="I2" s="40" t="inlineStr"/>
    </row>
    <row r="3" ht="18" customHeight="1">
      <c r="A3" s="34" t="inlineStr">
        <is>
          <t>2025-01-10</t>
        </is>
      </c>
      <c r="B3" s="35" t="inlineStr">
        <is>
          <t>Office Depot</t>
        </is>
      </c>
      <c r="C3" s="35" t="inlineStr">
        <is>
          <t>Desk supplies</t>
        </is>
      </c>
      <c r="D3" s="35" t="inlineStr">
        <is>
          <t>Office</t>
        </is>
      </c>
      <c r="E3" s="35" t="inlineStr">
        <is>
          <t>Credit Card</t>
        </is>
      </c>
      <c r="F3" s="35" t="inlineStr">
        <is>
          <t>REC-002</t>
        </is>
      </c>
      <c r="G3" s="42" t="n">
        <v>87.31999999999999</v>
      </c>
      <c r="H3" s="33" t="inlineStr">
        <is>
          <t>Yes</t>
        </is>
      </c>
      <c r="I3" s="35" t="inlineStr"/>
    </row>
    <row r="4" ht="18" customHeight="1">
      <c r="A4" s="39" t="inlineStr">
        <is>
          <t>2025-01-15</t>
        </is>
      </c>
      <c r="B4" s="40" t="inlineStr">
        <is>
          <t>Zoom</t>
        </is>
      </c>
      <c r="C4" s="40" t="inlineStr">
        <is>
          <t>Pro plan</t>
        </is>
      </c>
      <c r="D4" s="40" t="inlineStr">
        <is>
          <t>Software</t>
        </is>
      </c>
      <c r="E4" s="40" t="inlineStr">
        <is>
          <t>Credit Card</t>
        </is>
      </c>
      <c r="F4" s="40" t="inlineStr">
        <is>
          <t>REC-003</t>
        </is>
      </c>
      <c r="G4" s="41" t="n">
        <v>14.99</v>
      </c>
      <c r="H4" s="33" t="inlineStr">
        <is>
          <t>Yes</t>
        </is>
      </c>
      <c r="I4" s="40" t="inlineStr"/>
    </row>
    <row r="5" ht="18" customHeight="1">
      <c r="A5" s="34" t="inlineStr">
        <is>
          <t>2025-02-01</t>
        </is>
      </c>
      <c r="B5" s="35" t="inlineStr">
        <is>
          <t>Shopify</t>
        </is>
      </c>
      <c r="C5" s="35" t="inlineStr">
        <is>
          <t>Monthly plan</t>
        </is>
      </c>
      <c r="D5" s="35" t="inlineStr">
        <is>
          <t>Software</t>
        </is>
      </c>
      <c r="E5" s="35" t="inlineStr">
        <is>
          <t>Bank Transfer</t>
        </is>
      </c>
      <c r="F5" s="35" t="inlineStr">
        <is>
          <t>REC-004</t>
        </is>
      </c>
      <c r="G5" s="42" t="n">
        <v>39</v>
      </c>
      <c r="H5" s="33" t="inlineStr">
        <is>
          <t>Yes</t>
        </is>
      </c>
      <c r="I5" s="35" t="inlineStr"/>
    </row>
    <row r="6" ht="18" customHeight="1">
      <c r="A6" s="39" t="inlineStr">
        <is>
          <t>2025-02-14</t>
        </is>
      </c>
      <c r="B6" s="40" t="inlineStr">
        <is>
          <t>Starbucks</t>
        </is>
      </c>
      <c r="C6" s="40" t="inlineStr">
        <is>
          <t>Client meeting</t>
        </is>
      </c>
      <c r="D6" s="40" t="inlineStr">
        <is>
          <t>Meals</t>
        </is>
      </c>
      <c r="E6" s="40" t="inlineStr">
        <is>
          <t>Credit Card</t>
        </is>
      </c>
      <c r="F6" s="40" t="inlineStr">
        <is>
          <t>REC-005</t>
        </is>
      </c>
      <c r="G6" s="41" t="n">
        <v>23.75</v>
      </c>
      <c r="H6" s="33" t="inlineStr">
        <is>
          <t>Yes</t>
        </is>
      </c>
      <c r="I6" s="40" t="inlineStr">
        <is>
          <t>50% deductible</t>
        </is>
      </c>
    </row>
    <row r="7" ht="18" customHeight="1">
      <c r="A7" s="34" t="inlineStr">
        <is>
          <t>2025-03-05</t>
        </is>
      </c>
      <c r="B7" s="35" t="inlineStr">
        <is>
          <t>AT&amp;T</t>
        </is>
      </c>
      <c r="C7" s="35" t="inlineStr">
        <is>
          <t>Business phone</t>
        </is>
      </c>
      <c r="D7" s="35" t="inlineStr">
        <is>
          <t>Utilities</t>
        </is>
      </c>
      <c r="E7" s="35" t="inlineStr">
        <is>
          <t>Bank Transfer</t>
        </is>
      </c>
      <c r="F7" s="35" t="inlineStr">
        <is>
          <t>REC-006</t>
        </is>
      </c>
      <c r="G7" s="42" t="n">
        <v>85</v>
      </c>
      <c r="H7" s="33" t="inlineStr">
        <is>
          <t>Yes</t>
        </is>
      </c>
      <c r="I7" s="35" t="inlineStr"/>
    </row>
    <row r="8" ht="18" customHeight="1">
      <c r="A8" s="39" t="inlineStr">
        <is>
          <t>2025-03-20</t>
        </is>
      </c>
      <c r="B8" s="40" t="inlineStr">
        <is>
          <t>Canva Pro</t>
        </is>
      </c>
      <c r="C8" s="40" t="inlineStr">
        <is>
          <t>Annual subscription</t>
        </is>
      </c>
      <c r="D8" s="40" t="inlineStr">
        <is>
          <t>Software</t>
        </is>
      </c>
      <c r="E8" s="40" t="inlineStr">
        <is>
          <t>Credit Card</t>
        </is>
      </c>
      <c r="F8" s="40" t="inlineStr">
        <is>
          <t>REC-007</t>
        </is>
      </c>
      <c r="G8" s="41" t="n">
        <v>119.99</v>
      </c>
      <c r="H8" s="33" t="inlineStr">
        <is>
          <t>Yes</t>
        </is>
      </c>
      <c r="I8" s="40" t="inlineStr">
        <is>
          <t>Annual</t>
        </is>
      </c>
    </row>
    <row r="9" ht="18" customHeight="1">
      <c r="A9" s="34" t="inlineStr">
        <is>
          <t>2025-04-02</t>
        </is>
      </c>
      <c r="B9" s="35" t="inlineStr">
        <is>
          <t>Amazon</t>
        </is>
      </c>
      <c r="C9" s="35" t="inlineStr">
        <is>
          <t>Camera equipment</t>
        </is>
      </c>
      <c r="D9" s="35" t="inlineStr">
        <is>
          <t>Equipment</t>
        </is>
      </c>
      <c r="E9" s="35" t="inlineStr">
        <is>
          <t>Credit Card</t>
        </is>
      </c>
      <c r="F9" s="35" t="inlineStr">
        <is>
          <t>REC-008</t>
        </is>
      </c>
      <c r="G9" s="42" t="n">
        <v>349</v>
      </c>
      <c r="H9" s="33" t="inlineStr">
        <is>
          <t>Yes</t>
        </is>
      </c>
      <c r="I9" s="35" t="inlineStr"/>
    </row>
    <row r="10" ht="18" customHeight="1">
      <c r="A10" s="39" t="inlineStr">
        <is>
          <t>2025-04-18</t>
        </is>
      </c>
      <c r="B10" s="40" t="inlineStr">
        <is>
          <t>Mailchimp</t>
        </is>
      </c>
      <c r="C10" s="40" t="inlineStr">
        <is>
          <t>Email marketing</t>
        </is>
      </c>
      <c r="D10" s="40" t="inlineStr">
        <is>
          <t>Marketing</t>
        </is>
      </c>
      <c r="E10" s="40" t="inlineStr">
        <is>
          <t>Credit Card</t>
        </is>
      </c>
      <c r="F10" s="40" t="inlineStr">
        <is>
          <t>REC-009</t>
        </is>
      </c>
      <c r="G10" s="41" t="n">
        <v>30</v>
      </c>
      <c r="H10" s="33" t="inlineStr">
        <is>
          <t>Yes</t>
        </is>
      </c>
      <c r="I10" s="40" t="inlineStr"/>
    </row>
    <row r="11" ht="22" customHeight="1">
      <c r="E11" s="43" t="inlineStr">
        <is>
          <t>TOTAL EXPENSES</t>
        </is>
      </c>
      <c r="G11" s="41">
        <f>SUM(G2:G10)</f>
        <v/>
      </c>
    </row>
  </sheetData>
  <mergeCells count="1">
    <mergeCell ref="E11:F11"/>
  </mergeCells>
  <dataValidations count="3">
    <dataValidation sqref="D2:D1000" showDropDown="0" showInputMessage="0" showErrorMessage="0" allowBlank="1" type="list">
      <formula1>"Software,Office,Meals,Utilities,Equipment,Marketing,Travel,Contractor,Insurance,Rent,Other"</formula1>
    </dataValidation>
    <dataValidation sqref="E2:E1000" showDropDown="0" showInputMessage="0" showErrorMessage="0" allowBlank="1" type="list">
      <formula1>"Bank Transfer,PayPal,Credit Card,Cash,Check,Venmo,Zelle,Stripe"</formula1>
    </dataValidation>
    <dataValidation sqref="H2:H1000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B2:H34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5" customWidth="1" min="8" max="8"/>
  </cols>
  <sheetData>
    <row r="2" ht="40" customHeight="1">
      <c r="B2" s="44" t="inlineStr">
        <is>
          <t>PROFIT &amp; LOSS STATEMENT</t>
        </is>
      </c>
    </row>
    <row r="3"/>
    <row r="4"/>
    <row r="5" ht="20" customHeight="1">
      <c r="B5" s="2" t="inlineStr">
        <is>
          <t>Fiscal Year 2025</t>
        </is>
      </c>
    </row>
    <row r="7" ht="24" customHeight="1">
      <c r="B7" s="45" t="inlineStr">
        <is>
          <t>REVENUE</t>
        </is>
      </c>
    </row>
    <row r="8" ht="20" customHeight="1">
      <c r="B8" s="46" t="inlineStr">
        <is>
          <t>Design</t>
        </is>
      </c>
      <c r="F8" s="47">
        <f>SUMIF('💰 Income'!D:D,"Design",'💰 Income'!G:G)</f>
        <v/>
      </c>
    </row>
    <row r="9" ht="20" customHeight="1">
      <c r="B9" s="46" t="inlineStr">
        <is>
          <t>Consulting</t>
        </is>
      </c>
      <c r="F9" s="47">
        <f>SUMIF('💰 Income'!D:D,"Consulting",'💰 Income'!G:G)</f>
        <v/>
      </c>
    </row>
    <row r="10" ht="20" customHeight="1">
      <c r="B10" s="46" t="inlineStr">
        <is>
          <t>Marketing</t>
        </is>
      </c>
      <c r="F10" s="47">
        <f>SUMIF('💰 Income'!D:D,"Marketing",'💰 Income'!G:G)</f>
        <v/>
      </c>
    </row>
    <row r="11" ht="20" customHeight="1">
      <c r="B11" s="46" t="inlineStr">
        <is>
          <t>Photography</t>
        </is>
      </c>
      <c r="F11" s="47">
        <f>SUMIF('💰 Income'!D:D,"Photography",'💰 Income'!G:G)</f>
        <v/>
      </c>
    </row>
    <row r="12" ht="20" customHeight="1">
      <c r="B12" s="46" t="inlineStr">
        <is>
          <t>Development</t>
        </is>
      </c>
      <c r="F12" s="47">
        <f>SUMIF('💰 Income'!D:D,"Development",'💰 Income'!G:G)</f>
        <v/>
      </c>
    </row>
    <row r="13" ht="20" customHeight="1">
      <c r="B13" s="46" t="inlineStr">
        <is>
          <t>Coaching</t>
        </is>
      </c>
      <c r="F13" s="47">
        <f>SUMIF('💰 Income'!D:D,"Coaching",'💰 Income'!G:G)</f>
        <v/>
      </c>
    </row>
    <row r="14" ht="20" customHeight="1">
      <c r="B14" s="46" t="inlineStr">
        <is>
          <t>Writing</t>
        </is>
      </c>
      <c r="F14" s="47">
        <f>SUMIF('💰 Income'!D:D,"Writing",'💰 Income'!G:G)</f>
        <v/>
      </c>
    </row>
    <row r="15" ht="20" customHeight="1">
      <c r="B15" s="46" t="inlineStr">
        <is>
          <t>Other</t>
        </is>
      </c>
      <c r="F15" s="47">
        <f>SUMIF('💰 Income'!D:D,"Other",'💰 Income'!G:G)</f>
        <v/>
      </c>
    </row>
    <row r="16" ht="20" customHeight="1">
      <c r="B16" s="48" t="inlineStr">
        <is>
          <t>TOTAL REVENUE</t>
        </is>
      </c>
      <c r="F16" s="49">
        <f>SUMIF('💰 Income'!H:H,"Paid",'💰 Income'!G:G)</f>
        <v/>
      </c>
    </row>
    <row r="18" ht="24" customHeight="1">
      <c r="B18" s="50" t="inlineStr">
        <is>
          <t>EXPENSES</t>
        </is>
      </c>
    </row>
    <row r="19" ht="20" customHeight="1">
      <c r="B19" s="46" t="inlineStr">
        <is>
          <t>Software</t>
        </is>
      </c>
      <c r="F19" s="47">
        <f>SUMIF('💸 Expenses'!D:D,"Software",'💸 Expenses'!G:G)</f>
        <v/>
      </c>
    </row>
    <row r="20" ht="20" customHeight="1">
      <c r="B20" s="46" t="inlineStr">
        <is>
          <t>Office</t>
        </is>
      </c>
      <c r="F20" s="47">
        <f>SUMIF('💸 Expenses'!D:D,"Office",'💸 Expenses'!G:G)</f>
        <v/>
      </c>
    </row>
    <row r="21" ht="20" customHeight="1">
      <c r="B21" s="46" t="inlineStr">
        <is>
          <t>Meals</t>
        </is>
      </c>
      <c r="F21" s="47">
        <f>SUMIF('💸 Expenses'!D:D,"Meals",'💸 Expenses'!G:G)</f>
        <v/>
      </c>
    </row>
    <row r="22" ht="20" customHeight="1">
      <c r="B22" s="46" t="inlineStr">
        <is>
          <t>Utilities</t>
        </is>
      </c>
      <c r="F22" s="47">
        <f>SUMIF('💸 Expenses'!D:D,"Utilities",'💸 Expenses'!G:G)</f>
        <v/>
      </c>
    </row>
    <row r="23" ht="20" customHeight="1">
      <c r="B23" s="46" t="inlineStr">
        <is>
          <t>Equipment</t>
        </is>
      </c>
      <c r="F23" s="47">
        <f>SUMIF('💸 Expenses'!D:D,"Equipment",'💸 Expenses'!G:G)</f>
        <v/>
      </c>
    </row>
    <row r="24" ht="20" customHeight="1">
      <c r="B24" s="46" t="inlineStr">
        <is>
          <t>Marketing</t>
        </is>
      </c>
      <c r="F24" s="47">
        <f>SUMIF('💸 Expenses'!D:D,"Marketing",'💸 Expenses'!G:G)</f>
        <v/>
      </c>
    </row>
    <row r="25" ht="20" customHeight="1">
      <c r="B25" s="46" t="inlineStr">
        <is>
          <t>Travel</t>
        </is>
      </c>
      <c r="F25" s="47">
        <f>SUMIF('💸 Expenses'!D:D,"Travel",'💸 Expenses'!G:G)</f>
        <v/>
      </c>
    </row>
    <row r="26" ht="20" customHeight="1">
      <c r="B26" s="46" t="inlineStr">
        <is>
          <t>Contractor</t>
        </is>
      </c>
      <c r="F26" s="47">
        <f>SUMIF('💸 Expenses'!D:D,"Contractor",'💸 Expenses'!G:G)</f>
        <v/>
      </c>
    </row>
    <row r="27" ht="20" customHeight="1">
      <c r="B27" s="46" t="inlineStr">
        <is>
          <t>Insurance</t>
        </is>
      </c>
      <c r="F27" s="47">
        <f>SUMIF('💸 Expenses'!D:D,"Insurance",'💸 Expenses'!G:G)</f>
        <v/>
      </c>
    </row>
    <row r="28" ht="20" customHeight="1">
      <c r="B28" s="46" t="inlineStr">
        <is>
          <t>Rent</t>
        </is>
      </c>
      <c r="F28" s="47">
        <f>SUMIF('💸 Expenses'!D:D,"Rent",'💸 Expenses'!G:G)</f>
        <v/>
      </c>
    </row>
    <row r="29" ht="20" customHeight="1">
      <c r="B29" s="46" t="inlineStr">
        <is>
          <t>Other</t>
        </is>
      </c>
      <c r="F29" s="47">
        <f>SUMIF('💸 Expenses'!D:D,"Other",'💸 Expenses'!G:G)</f>
        <v/>
      </c>
    </row>
    <row r="30" ht="20" customHeight="1">
      <c r="B30" s="48" t="inlineStr">
        <is>
          <t>TOTAL EXPENSES</t>
        </is>
      </c>
      <c r="F30" s="49">
        <f>SUM('💸 Expenses'!G:G)</f>
        <v/>
      </c>
    </row>
    <row r="32" ht="24" customHeight="1">
      <c r="B32" s="51" t="inlineStr">
        <is>
          <t>NET PROFIT / LOSS</t>
        </is>
      </c>
    </row>
    <row r="33" ht="20" customHeight="1">
      <c r="B33" s="52" t="inlineStr">
        <is>
          <t>Net Profit / Loss</t>
        </is>
      </c>
      <c r="F33" s="49">
        <f>SUM('💰 Income'!G:G)-SUM('💸 Expenses'!G:G)</f>
        <v/>
      </c>
    </row>
    <row r="34" ht="20" customHeight="1">
      <c r="B34" s="52" t="inlineStr">
        <is>
          <t>Profit Margin</t>
        </is>
      </c>
      <c r="F34" s="53">
        <f>IF(SUM('💰 Income'!G:G)=0,0,(SUM('💰 Income'!G:G)-SUM('💸 Expenses'!G:G))/SUM('💰 Income'!G:G))</f>
        <v/>
      </c>
    </row>
  </sheetData>
  <mergeCells count="51">
    <mergeCell ref="F20:H20"/>
    <mergeCell ref="B9:E9"/>
    <mergeCell ref="F21:H21"/>
    <mergeCell ref="F33:H33"/>
    <mergeCell ref="B28:E28"/>
    <mergeCell ref="B30:E30"/>
    <mergeCell ref="F8:H8"/>
    <mergeCell ref="B15:E15"/>
    <mergeCell ref="F26:H26"/>
    <mergeCell ref="B33:E33"/>
    <mergeCell ref="B24:E24"/>
    <mergeCell ref="B20:E20"/>
    <mergeCell ref="B5:H5"/>
    <mergeCell ref="F23:H23"/>
    <mergeCell ref="B26:E26"/>
    <mergeCell ref="B32:H32"/>
    <mergeCell ref="F22:H22"/>
    <mergeCell ref="F28:H28"/>
    <mergeCell ref="F13:H13"/>
    <mergeCell ref="F27:H27"/>
    <mergeCell ref="B16:E16"/>
    <mergeCell ref="F30:H30"/>
    <mergeCell ref="B25:E25"/>
    <mergeCell ref="B7:H7"/>
    <mergeCell ref="F9:H9"/>
    <mergeCell ref="B22:E22"/>
    <mergeCell ref="B27:E27"/>
    <mergeCell ref="F14:H14"/>
    <mergeCell ref="B18:H18"/>
    <mergeCell ref="B12:E12"/>
    <mergeCell ref="B21:E21"/>
    <mergeCell ref="B11:E11"/>
    <mergeCell ref="B2:H4"/>
    <mergeCell ref="F29:H29"/>
    <mergeCell ref="F11:H11"/>
    <mergeCell ref="B14:E14"/>
    <mergeCell ref="F25:H25"/>
    <mergeCell ref="F34:H34"/>
    <mergeCell ref="F10:H10"/>
    <mergeCell ref="F16:H16"/>
    <mergeCell ref="B23:E23"/>
    <mergeCell ref="B8:E8"/>
    <mergeCell ref="F19:H19"/>
    <mergeCell ref="B13:E13"/>
    <mergeCell ref="B29:E29"/>
    <mergeCell ref="F12:H12"/>
    <mergeCell ref="B19:E19"/>
    <mergeCell ref="B10:E10"/>
    <mergeCell ref="F15:H15"/>
    <mergeCell ref="F24:H24"/>
    <mergeCell ref="B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EA5E9"/>
    <outlinePr summaryBelow="1" summaryRight="1"/>
    <pageSetUpPr/>
  </sheetPr>
  <dimension ref="B2:I21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</cols>
  <sheetData>
    <row r="2" ht="30" customHeight="1">
      <c r="B2" s="54" t="inlineStr">
        <is>
          <t>SPENDING BY CATEGORY</t>
        </is>
      </c>
    </row>
    <row r="3" ht="10" customHeight="1"/>
    <row r="4" ht="22" customHeight="1">
      <c r="B4" s="12" t="inlineStr">
        <is>
          <t>CATEGORY</t>
        </is>
      </c>
      <c r="C4" s="12" t="inlineStr">
        <is>
          <t>INCOME</t>
        </is>
      </c>
      <c r="D4" s="12" t="inlineStr">
        <is>
          <t>EXPENSES</t>
        </is>
      </c>
      <c r="E4" s="12" t="inlineStr">
        <is>
          <t>NET</t>
        </is>
      </c>
      <c r="F4" s="12" t="inlineStr">
        <is>
          <t>% OF INCOME</t>
        </is>
      </c>
      <c r="G4" s="12" t="inlineStr">
        <is>
          <t>% OF EXPENSES</t>
        </is>
      </c>
    </row>
    <row r="5" ht="18" customHeight="1">
      <c r="B5" s="55" t="inlineStr">
        <is>
          <t>Coaching</t>
        </is>
      </c>
      <c r="C5" s="19">
        <f>SUMIF('💰 Income'!D:D,"Coaching",'💰 Income'!G:G)</f>
        <v/>
      </c>
      <c r="D5" s="20">
        <f>SUMIF('💸 Expenses'!D:D,"Coaching",'💸 Expenses'!G:G)</f>
        <v/>
      </c>
      <c r="E5" s="24">
        <f>C5-D5</f>
        <v/>
      </c>
      <c r="F5" s="56">
        <f>IF(SUM('💰 Income'!G:G)=0,0,C5/SUM('💰 Income'!G:G))</f>
        <v/>
      </c>
      <c r="G5" s="57">
        <f>IF(SUM('💸 Expenses'!G:G)=0,0,D5/SUM('💸 Expenses'!G:G))</f>
        <v/>
      </c>
    </row>
    <row r="6" ht="18" customHeight="1">
      <c r="B6" s="58" t="inlineStr">
        <is>
          <t>Consulting</t>
        </is>
      </c>
      <c r="C6" s="19">
        <f>SUMIF('💰 Income'!D:D,"Consulting",'💰 Income'!G:G)</f>
        <v/>
      </c>
      <c r="D6" s="20">
        <f>SUMIF('💸 Expenses'!D:D,"Consulting",'💸 Expenses'!G:G)</f>
        <v/>
      </c>
      <c r="E6" s="21">
        <f>C6-D6</f>
        <v/>
      </c>
      <c r="F6" s="59">
        <f>IF(SUM('💰 Income'!G:G)=0,0,C6/SUM('💰 Income'!G:G))</f>
        <v/>
      </c>
      <c r="G6" s="60">
        <f>IF(SUM('💸 Expenses'!G:G)=0,0,D6/SUM('💸 Expenses'!G:G))</f>
        <v/>
      </c>
    </row>
    <row r="7" ht="18" customHeight="1">
      <c r="B7" s="55" t="inlineStr">
        <is>
          <t>Contractor</t>
        </is>
      </c>
      <c r="C7" s="19">
        <f>SUMIF('💰 Income'!D:D,"Contractor",'💰 Income'!G:G)</f>
        <v/>
      </c>
      <c r="D7" s="20">
        <f>SUMIF('💸 Expenses'!D:D,"Contractor",'💸 Expenses'!G:G)</f>
        <v/>
      </c>
      <c r="E7" s="24">
        <f>C7-D7</f>
        <v/>
      </c>
      <c r="F7" s="56">
        <f>IF(SUM('💰 Income'!G:G)=0,0,C7/SUM('💰 Income'!G:G))</f>
        <v/>
      </c>
      <c r="G7" s="57">
        <f>IF(SUM('💸 Expenses'!G:G)=0,0,D7/SUM('💸 Expenses'!G:G))</f>
        <v/>
      </c>
    </row>
    <row r="8" ht="18" customHeight="1">
      <c r="B8" s="58" t="inlineStr">
        <is>
          <t>Design</t>
        </is>
      </c>
      <c r="C8" s="19">
        <f>SUMIF('💰 Income'!D:D,"Design",'💰 Income'!G:G)</f>
        <v/>
      </c>
      <c r="D8" s="20">
        <f>SUMIF('💸 Expenses'!D:D,"Design",'💸 Expenses'!G:G)</f>
        <v/>
      </c>
      <c r="E8" s="21">
        <f>C8-D8</f>
        <v/>
      </c>
      <c r="F8" s="59">
        <f>IF(SUM('💰 Income'!G:G)=0,0,C8/SUM('💰 Income'!G:G))</f>
        <v/>
      </c>
      <c r="G8" s="60">
        <f>IF(SUM('💸 Expenses'!G:G)=0,0,D8/SUM('💸 Expenses'!G:G))</f>
        <v/>
      </c>
    </row>
    <row r="9" ht="18" customHeight="1">
      <c r="B9" s="55" t="inlineStr">
        <is>
          <t>Development</t>
        </is>
      </c>
      <c r="C9" s="19">
        <f>SUMIF('💰 Income'!D:D,"Development",'💰 Income'!G:G)</f>
        <v/>
      </c>
      <c r="D9" s="20">
        <f>SUMIF('💸 Expenses'!D:D,"Development",'💸 Expenses'!G:G)</f>
        <v/>
      </c>
      <c r="E9" s="24">
        <f>C9-D9</f>
        <v/>
      </c>
      <c r="F9" s="56">
        <f>IF(SUM('💰 Income'!G:G)=0,0,C9/SUM('💰 Income'!G:G))</f>
        <v/>
      </c>
      <c r="G9" s="57">
        <f>IF(SUM('💸 Expenses'!G:G)=0,0,D9/SUM('💸 Expenses'!G:G))</f>
        <v/>
      </c>
    </row>
    <row r="10" ht="18" customHeight="1">
      <c r="B10" s="58" t="inlineStr">
        <is>
          <t>Equipment</t>
        </is>
      </c>
      <c r="C10" s="19">
        <f>SUMIF('💰 Income'!D:D,"Equipment",'💰 Income'!G:G)</f>
        <v/>
      </c>
      <c r="D10" s="20">
        <f>SUMIF('💸 Expenses'!D:D,"Equipment",'💸 Expenses'!G:G)</f>
        <v/>
      </c>
      <c r="E10" s="21">
        <f>C10-D10</f>
        <v/>
      </c>
      <c r="F10" s="59">
        <f>IF(SUM('💰 Income'!G:G)=0,0,C10/SUM('💰 Income'!G:G))</f>
        <v/>
      </c>
      <c r="G10" s="60">
        <f>IF(SUM('💸 Expenses'!G:G)=0,0,D10/SUM('💸 Expenses'!G:G))</f>
        <v/>
      </c>
    </row>
    <row r="11" ht="18" customHeight="1">
      <c r="B11" s="55" t="inlineStr">
        <is>
          <t>Insurance</t>
        </is>
      </c>
      <c r="C11" s="19">
        <f>SUMIF('💰 Income'!D:D,"Insurance",'💰 Income'!G:G)</f>
        <v/>
      </c>
      <c r="D11" s="20">
        <f>SUMIF('💸 Expenses'!D:D,"Insurance",'💸 Expenses'!G:G)</f>
        <v/>
      </c>
      <c r="E11" s="24">
        <f>C11-D11</f>
        <v/>
      </c>
      <c r="F11" s="56">
        <f>IF(SUM('💰 Income'!G:G)=0,0,C11/SUM('💰 Income'!G:G))</f>
        <v/>
      </c>
      <c r="G11" s="57">
        <f>IF(SUM('💸 Expenses'!G:G)=0,0,D11/SUM('💸 Expenses'!G:G))</f>
        <v/>
      </c>
    </row>
    <row r="12" ht="18" customHeight="1">
      <c r="B12" s="58" t="inlineStr">
        <is>
          <t>Marketing</t>
        </is>
      </c>
      <c r="C12" s="19">
        <f>SUMIF('💰 Income'!D:D,"Marketing",'💰 Income'!G:G)</f>
        <v/>
      </c>
      <c r="D12" s="20">
        <f>SUMIF('💸 Expenses'!D:D,"Marketing",'💸 Expenses'!G:G)</f>
        <v/>
      </c>
      <c r="E12" s="21">
        <f>C12-D12</f>
        <v/>
      </c>
      <c r="F12" s="59">
        <f>IF(SUM('💰 Income'!G:G)=0,0,C12/SUM('💰 Income'!G:G))</f>
        <v/>
      </c>
      <c r="G12" s="60">
        <f>IF(SUM('💸 Expenses'!G:G)=0,0,D12/SUM('💸 Expenses'!G:G))</f>
        <v/>
      </c>
    </row>
    <row r="13" ht="18" customHeight="1">
      <c r="B13" s="55" t="inlineStr">
        <is>
          <t>Meals</t>
        </is>
      </c>
      <c r="C13" s="19">
        <f>SUMIF('💰 Income'!D:D,"Meals",'💰 Income'!G:G)</f>
        <v/>
      </c>
      <c r="D13" s="20">
        <f>SUMIF('💸 Expenses'!D:D,"Meals",'💸 Expenses'!G:G)</f>
        <v/>
      </c>
      <c r="E13" s="24">
        <f>C13-D13</f>
        <v/>
      </c>
      <c r="F13" s="56">
        <f>IF(SUM('💰 Income'!G:G)=0,0,C13/SUM('💰 Income'!G:G))</f>
        <v/>
      </c>
      <c r="G13" s="57">
        <f>IF(SUM('💸 Expenses'!G:G)=0,0,D13/SUM('💸 Expenses'!G:G))</f>
        <v/>
      </c>
    </row>
    <row r="14" ht="18" customHeight="1">
      <c r="B14" s="58" t="inlineStr">
        <is>
          <t>Office</t>
        </is>
      </c>
      <c r="C14" s="19">
        <f>SUMIF('💰 Income'!D:D,"Office",'💰 Income'!G:G)</f>
        <v/>
      </c>
      <c r="D14" s="20">
        <f>SUMIF('💸 Expenses'!D:D,"Office",'💸 Expenses'!G:G)</f>
        <v/>
      </c>
      <c r="E14" s="21">
        <f>C14-D14</f>
        <v/>
      </c>
      <c r="F14" s="59">
        <f>IF(SUM('💰 Income'!G:G)=0,0,C14/SUM('💰 Income'!G:G))</f>
        <v/>
      </c>
      <c r="G14" s="60">
        <f>IF(SUM('💸 Expenses'!G:G)=0,0,D14/SUM('💸 Expenses'!G:G))</f>
        <v/>
      </c>
    </row>
    <row r="15" ht="18" customHeight="1">
      <c r="B15" s="55" t="inlineStr">
        <is>
          <t>Other</t>
        </is>
      </c>
      <c r="C15" s="19">
        <f>SUMIF('💰 Income'!D:D,"Other",'💰 Income'!G:G)</f>
        <v/>
      </c>
      <c r="D15" s="20">
        <f>SUMIF('💸 Expenses'!D:D,"Other",'💸 Expenses'!G:G)</f>
        <v/>
      </c>
      <c r="E15" s="24">
        <f>C15-D15</f>
        <v/>
      </c>
      <c r="F15" s="56">
        <f>IF(SUM('💰 Income'!G:G)=0,0,C15/SUM('💰 Income'!G:G))</f>
        <v/>
      </c>
      <c r="G15" s="57">
        <f>IF(SUM('💸 Expenses'!G:G)=0,0,D15/SUM('💸 Expenses'!G:G))</f>
        <v/>
      </c>
    </row>
    <row r="16" ht="18" customHeight="1">
      <c r="B16" s="58" t="inlineStr">
        <is>
          <t>Photography</t>
        </is>
      </c>
      <c r="C16" s="19">
        <f>SUMIF('💰 Income'!D:D,"Photography",'💰 Income'!G:G)</f>
        <v/>
      </c>
      <c r="D16" s="20">
        <f>SUMIF('💸 Expenses'!D:D,"Photography",'💸 Expenses'!G:G)</f>
        <v/>
      </c>
      <c r="E16" s="21">
        <f>C16-D16</f>
        <v/>
      </c>
      <c r="F16" s="59">
        <f>IF(SUM('💰 Income'!G:G)=0,0,C16/SUM('💰 Income'!G:G))</f>
        <v/>
      </c>
      <c r="G16" s="60">
        <f>IF(SUM('💸 Expenses'!G:G)=0,0,D16/SUM('💸 Expenses'!G:G))</f>
        <v/>
      </c>
    </row>
    <row r="17" ht="18" customHeight="1">
      <c r="B17" s="55" t="inlineStr">
        <is>
          <t>Rent</t>
        </is>
      </c>
      <c r="C17" s="19">
        <f>SUMIF('💰 Income'!D:D,"Rent",'💰 Income'!G:G)</f>
        <v/>
      </c>
      <c r="D17" s="20">
        <f>SUMIF('💸 Expenses'!D:D,"Rent",'💸 Expenses'!G:G)</f>
        <v/>
      </c>
      <c r="E17" s="24">
        <f>C17-D17</f>
        <v/>
      </c>
      <c r="F17" s="56">
        <f>IF(SUM('💰 Income'!G:G)=0,0,C17/SUM('💰 Income'!G:G))</f>
        <v/>
      </c>
      <c r="G17" s="57">
        <f>IF(SUM('💸 Expenses'!G:G)=0,0,D17/SUM('💸 Expenses'!G:G))</f>
        <v/>
      </c>
    </row>
    <row r="18" ht="18" customHeight="1">
      <c r="B18" s="58" t="inlineStr">
        <is>
          <t>Software</t>
        </is>
      </c>
      <c r="C18" s="19">
        <f>SUMIF('💰 Income'!D:D,"Software",'💰 Income'!G:G)</f>
        <v/>
      </c>
      <c r="D18" s="20">
        <f>SUMIF('💸 Expenses'!D:D,"Software",'💸 Expenses'!G:G)</f>
        <v/>
      </c>
      <c r="E18" s="21">
        <f>C18-D18</f>
        <v/>
      </c>
      <c r="F18" s="59">
        <f>IF(SUM('💰 Income'!G:G)=0,0,C18/SUM('💰 Income'!G:G))</f>
        <v/>
      </c>
      <c r="G18" s="60">
        <f>IF(SUM('💸 Expenses'!G:G)=0,0,D18/SUM('💸 Expenses'!G:G))</f>
        <v/>
      </c>
    </row>
    <row r="19" ht="18" customHeight="1">
      <c r="B19" s="55" t="inlineStr">
        <is>
          <t>Travel</t>
        </is>
      </c>
      <c r="C19" s="19">
        <f>SUMIF('💰 Income'!D:D,"Travel",'💰 Income'!G:G)</f>
        <v/>
      </c>
      <c r="D19" s="20">
        <f>SUMIF('💸 Expenses'!D:D,"Travel",'💸 Expenses'!G:G)</f>
        <v/>
      </c>
      <c r="E19" s="24">
        <f>C19-D19</f>
        <v/>
      </c>
      <c r="F19" s="56">
        <f>IF(SUM('💰 Income'!G:G)=0,0,C19/SUM('💰 Income'!G:G))</f>
        <v/>
      </c>
      <c r="G19" s="57">
        <f>IF(SUM('💸 Expenses'!G:G)=0,0,D19/SUM('💸 Expenses'!G:G))</f>
        <v/>
      </c>
    </row>
    <row r="20" ht="18" customHeight="1">
      <c r="B20" s="58" t="inlineStr">
        <is>
          <t>Utilities</t>
        </is>
      </c>
      <c r="C20" s="19">
        <f>SUMIF('💰 Income'!D:D,"Utilities",'💰 Income'!G:G)</f>
        <v/>
      </c>
      <c r="D20" s="20">
        <f>SUMIF('💸 Expenses'!D:D,"Utilities",'💸 Expenses'!G:G)</f>
        <v/>
      </c>
      <c r="E20" s="21">
        <f>C20-D20</f>
        <v/>
      </c>
      <c r="F20" s="59">
        <f>IF(SUM('💰 Income'!G:G)=0,0,C20/SUM('💰 Income'!G:G))</f>
        <v/>
      </c>
      <c r="G20" s="60">
        <f>IF(SUM('💸 Expenses'!G:G)=0,0,D20/SUM('💸 Expenses'!G:G))</f>
        <v/>
      </c>
    </row>
    <row r="21" ht="18" customHeight="1">
      <c r="B21" s="55" t="inlineStr">
        <is>
          <t>Writing</t>
        </is>
      </c>
      <c r="C21" s="19">
        <f>SUMIF('💰 Income'!D:D,"Writing",'💰 Income'!G:G)</f>
        <v/>
      </c>
      <c r="D21" s="20">
        <f>SUMIF('💸 Expenses'!D:D,"Writing",'💸 Expenses'!G:G)</f>
        <v/>
      </c>
      <c r="E21" s="24">
        <f>C21-D21</f>
        <v/>
      </c>
      <c r="F21" s="56">
        <f>IF(SUM('💰 Income'!G:G)=0,0,C21/SUM('💰 Income'!G:G))</f>
        <v/>
      </c>
      <c r="G21" s="57">
        <f>IF(SUM('💸 Expenses'!G:G)=0,0,D21/SUM('💸 Expenses'!G:G))</f>
        <v/>
      </c>
    </row>
  </sheetData>
  <mergeCells count="1">
    <mergeCell ref="B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2026-03-24T01:12:11Z</dcterms:created>
  <dcterms:modified xsi:type="dcterms:W3CDTF">2026-03-24T01:12:11Z</dcterms:modified>
</cp:coreProperties>
</file>